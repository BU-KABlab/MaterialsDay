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rown\My Drive (brownka@bu.edu)\Publications\Matter - Materials Day Perspective\"/>
    </mc:Choice>
  </mc:AlternateContent>
  <xr:revisionPtr revIDLastSave="0" documentId="13_ncr:1_{CEB4319E-A071-4BFC-9E89-9B59D73FB755}" xr6:coauthVersionLast="47" xr6:coauthVersionMax="47" xr10:uidLastSave="{00000000-0000-0000-0000-000000000000}"/>
  <bookViews>
    <workbookView xWindow="-80" yWindow="-80" windowWidth="19360" windowHeight="11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1" l="1"/>
  <c r="E63" i="1"/>
  <c r="E50" i="1"/>
  <c r="E37" i="1"/>
  <c r="E15" i="1"/>
  <c r="E45" i="1"/>
  <c r="E20" i="1"/>
  <c r="E36" i="1"/>
  <c r="E16" i="1"/>
  <c r="E11" i="1"/>
  <c r="E7" i="1"/>
  <c r="E40" i="1"/>
  <c r="E33" i="1"/>
  <c r="E5" i="1"/>
  <c r="E10" i="1"/>
  <c r="E43" i="1"/>
  <c r="E51" i="1"/>
  <c r="E55" i="1"/>
  <c r="E6" i="1"/>
  <c r="E13" i="1"/>
  <c r="E24" i="1"/>
  <c r="E61" i="1"/>
  <c r="E56" i="1"/>
  <c r="E38" i="1"/>
  <c r="E27" i="1"/>
  <c r="E58" i="1"/>
  <c r="E62" i="1"/>
  <c r="E23" i="1"/>
  <c r="E34" i="1"/>
  <c r="E26" i="1"/>
  <c r="E9" i="1"/>
  <c r="E47" i="1"/>
  <c r="E57" i="1"/>
  <c r="E54" i="1"/>
  <c r="E30" i="1"/>
  <c r="E25" i="1"/>
  <c r="E31" i="1"/>
  <c r="E21" i="1"/>
  <c r="E8" i="1"/>
  <c r="E35" i="1"/>
  <c r="E46" i="1"/>
  <c r="E60" i="1"/>
  <c r="E59" i="1"/>
  <c r="E49" i="1"/>
  <c r="E42" i="1"/>
  <c r="E48" i="1"/>
  <c r="E17" i="1"/>
  <c r="E14" i="1"/>
  <c r="E2" i="1"/>
  <c r="E52" i="1"/>
  <c r="E12" i="1"/>
  <c r="E53" i="1"/>
  <c r="E44" i="1"/>
  <c r="E28" i="1"/>
  <c r="E22" i="1"/>
  <c r="E18" i="1"/>
  <c r="E4" i="1"/>
  <c r="E3" i="1"/>
  <c r="E19" i="1"/>
  <c r="E39" i="1"/>
  <c r="E41" i="1"/>
  <c r="E32" i="1"/>
  <c r="E64" i="1"/>
</calcChain>
</file>

<file path=xl/sharedStrings.xml><?xml version="1.0" encoding="utf-8"?>
<sst xmlns="http://schemas.openxmlformats.org/spreadsheetml/2006/main" count="131" uniqueCount="74">
  <si>
    <t>Category</t>
  </si>
  <si>
    <t>Important</t>
  </si>
  <si>
    <t>Difficult</t>
  </si>
  <si>
    <t>Human-Machine Teaming</t>
  </si>
  <si>
    <t>Text</t>
  </si>
  <si>
    <t>How should we incorporate human knowledge into our generative pipelines?</t>
  </si>
  <si>
    <t>Human (materials) + Human (ML) teaming is also hard</t>
  </si>
  <si>
    <t>Total</t>
  </si>
  <si>
    <t>Hand-off and orchestration in heterogenous teams</t>
  </si>
  <si>
    <t>Ability to translate human metholodology  -&gt; machine efficency w/out natural language</t>
  </si>
  <si>
    <t>Chemistry</t>
  </si>
  <si>
    <t>How do we measure average molecular weight of polymers non-destructively in a SDL effectively, cheaply, and rapidly?</t>
  </si>
  <si>
    <t>Robust click-chem libraries to enables materials by design from practically implementable workflows</t>
  </si>
  <si>
    <t xml:space="preserve">Predit synthesizability </t>
  </si>
  <si>
    <t>Community</t>
  </si>
  <si>
    <t>(very) junior scientists</t>
  </si>
  <si>
    <t>Open access datasets/infrastructure to share data from self-driving labs (++metadata, software, protocols, open hardware specs)</t>
  </si>
  <si>
    <t>Software</t>
  </si>
  <si>
    <t>How to effectively use GenAI in small data problems</t>
  </si>
  <si>
    <t>How can we account for uncertainty in our measurements during the optimization of what to measure next?</t>
  </si>
  <si>
    <t>How do you balance making a machine that isn't bottlenecked by its hardware or software (specifically for at home/inexpensive applications)</t>
  </si>
  <si>
    <t>How do we bring new info (images, videos, foundation model knowledge, lab notebooks) into the brains of SDLs?</t>
  </si>
  <si>
    <t>How do we understand what questions can and can't be answered using self-driving labs?</t>
  </si>
  <si>
    <t>Safety</t>
  </si>
  <si>
    <t>Standardization equipment communication and control, sila2?</t>
  </si>
  <si>
    <t>Networking &amp; Control of a large number of equipment in an SDL (Standardized)</t>
  </si>
  <si>
    <t>Can we build end-to-end models for SDLs?</t>
  </si>
  <si>
    <t>Convergent</t>
  </si>
  <si>
    <t>How do we design readily screenable parameters predictive of complex and difficult-to-measure systems?</t>
  </si>
  <si>
    <t>How to decide what problemes are a good fit for SDLs?</t>
  </si>
  <si>
    <t>How can we generalize and share output of a SDL campaign for others to use?</t>
  </si>
  <si>
    <t>Systems to develop new classes of materials</t>
  </si>
  <si>
    <t>How do we integrate cell testing/biology without losing efficiency due to the pace of molecular mechanisms</t>
  </si>
  <si>
    <t>How to sustain long term programs</t>
  </si>
  <si>
    <t>Hardware</t>
  </si>
  <si>
    <t>Stability and longetivity of additive manufactured materials tools is a big concern. It has shoft lifetime or uncertain lifetime</t>
  </si>
  <si>
    <t>How do we balance an optimized system for a given process workflow with adaptability to future needs?</t>
  </si>
  <si>
    <t>Automated solid handling</t>
  </si>
  <si>
    <t>Solids</t>
  </si>
  <si>
    <t>industry relevant modular chemistry e.g. adhesives, painting, foam</t>
  </si>
  <si>
    <t>Automate SEM (scanning electron microscopy) for nanostructure recognization with auto formulation test/synthesis</t>
  </si>
  <si>
    <t>hyper-specialized hardware only applicable to single-material or objective discovery and optimization -&gt; not transferrable to the next material problem</t>
  </si>
  <si>
    <t>Better solutions for moving samples between equipment. Are cobots the best solution?</t>
  </si>
  <si>
    <t>Design rules for functionality, integration, manufacturing, and interoperability</t>
  </si>
  <si>
    <t>Does the theory of the material get embedded in the system design? What if the theory is wrong?</t>
  </si>
  <si>
    <t>How to reduce friction for documentation</t>
  </si>
  <si>
    <t>Hardware community vetting?</t>
  </si>
  <si>
    <t>In-loop molecular characterization for composition and molecular structure</t>
  </si>
  <si>
    <t>Physics based 4d-printing design rules</t>
  </si>
  <si>
    <t>Which is more favored, purchase off-the-shelf instruments and just automate them, or build characterization tools from scratch? What are the trade-offs?</t>
  </si>
  <si>
    <t xml:space="preserve">How do we reduce the fixed cost needed to get an SDL working for a new materials system? </t>
  </si>
  <si>
    <t>Are there approaches for taking data collected from one class of materials and exapolate/predict performance in a new class of materials not yet studied in the system?</t>
  </si>
  <si>
    <t>Can self-driivng labs help figure out the best methods to synthesize a compound trading/balancing quality with cost of production to fast track the lab to commerical scale manufacturing</t>
  </si>
  <si>
    <t>Can we train an LLM (or other model) on designing SDL hardware?</t>
  </si>
  <si>
    <t>Develop modular low cost blade coating, UV coating, or thermal coating?</t>
  </si>
  <si>
    <t>Dispensing of viscous (100,000-500,000 cP) liquids</t>
  </si>
  <si>
    <t>Diversity</t>
  </si>
  <si>
    <t>Does it seem like the barrier for personal fabrication is financial and education? You would have to know your way around software and have access to 3D printer and materials (not all libraries have makerspaces, for example)</t>
  </si>
  <si>
    <t>Finding overlap of people (individual or team) with mechanical knowledge to build/design systems and research questions that can be answered with SDL</t>
  </si>
  <si>
    <t>Grey box blinds human understanding of the worlds. We know how but not why.</t>
  </si>
  <si>
    <t>How can we build databases of descriptors for side groups for polymers</t>
  </si>
  <si>
    <t>How to allow for creative selection of measurement modalities? Do they all need to be designed ahead of time? Can we automate building of the machines to take the measurements and the design of the measurements?</t>
  </si>
  <si>
    <t>How to standardize the workflows? Miniturize workflows, fully automate workflows</t>
  </si>
  <si>
    <t>In other ML domains, humans often fail to guess which features in data are most important. In materials what we measure is usally an early design choice, how do we make it with humility?</t>
  </si>
  <si>
    <t>Incorporating programming (MATLAB, Python, etc) into training for physical scientists</t>
  </si>
  <si>
    <t>Inert chemical markers for reaction monitoring that are fast and do not interfere with reactions</t>
  </si>
  <si>
    <t>Interoperability between different forms of data (previously published papers, new datasets, computational results, experimental results, different but related systems)</t>
  </si>
  <si>
    <t>Ongoing debate persists about the extent to which developing technologies should be democratized, but not enough speculation is afforded for if such technologies should be centralized</t>
  </si>
  <si>
    <t>Precise solid handling</t>
  </si>
  <si>
    <t>Training experts in chemical/materials synthesis and also automated workflows</t>
  </si>
  <si>
    <t>Universally usable software that chemists (unfamiliar with computer scientists) can use</t>
  </si>
  <si>
    <t>What does this curve look like for a tool over time development [plot showing value of produced part per hour vs capital cost of tool with an upward trend]</t>
  </si>
  <si>
    <t>What new capability is enabled by automation beyond speed AI-driven?</t>
  </si>
  <si>
    <t>Will self-driving labs push new scientists out, similar how the introduction of self-checkout machines took jobs from cashiers?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</si>
</sst>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tabSelected="1" topLeftCell="B50" workbookViewId="0">
      <selection activeCell="B64" sqref="B64"/>
    </sheetView>
  </sheetViews>
  <sheetFormatPr defaultRowHeight="14.5" x14ac:dyDescent="0.35"/>
  <cols>
    <col min="1" max="1" width="22.90625" bestFit="1" customWidth="1"/>
    <col min="2" max="2" width="194.453125" bestFit="1" customWidth="1"/>
    <col min="4" max="4" width="9.453125" bestFit="1" customWidth="1"/>
  </cols>
  <sheetData>
    <row r="1" spans="1:5" x14ac:dyDescent="0.35">
      <c r="A1" s="1" t="s">
        <v>0</v>
      </c>
      <c r="B1" s="1" t="s">
        <v>4</v>
      </c>
      <c r="C1" s="1" t="s">
        <v>2</v>
      </c>
      <c r="D1" s="1" t="s">
        <v>1</v>
      </c>
      <c r="E1" s="1" t="s">
        <v>7</v>
      </c>
    </row>
    <row r="2" spans="1:5" x14ac:dyDescent="0.35">
      <c r="A2" s="4" t="s">
        <v>14</v>
      </c>
      <c r="B2" t="s">
        <v>15</v>
      </c>
      <c r="C2">
        <v>0</v>
      </c>
      <c r="D2">
        <v>2</v>
      </c>
      <c r="E2">
        <f t="shared" ref="E2:E33" si="0">SUM(C2:D2)</f>
        <v>2</v>
      </c>
    </row>
    <row r="3" spans="1:5" x14ac:dyDescent="0.35">
      <c r="A3" s="2" t="s">
        <v>3</v>
      </c>
      <c r="B3" t="s">
        <v>9</v>
      </c>
      <c r="C3">
        <v>6</v>
      </c>
      <c r="D3">
        <v>3</v>
      </c>
      <c r="E3">
        <f t="shared" si="0"/>
        <v>9</v>
      </c>
    </row>
    <row r="4" spans="1:5" x14ac:dyDescent="0.35">
      <c r="A4" s="2" t="s">
        <v>3</v>
      </c>
      <c r="B4" t="s">
        <v>51</v>
      </c>
      <c r="C4">
        <v>1</v>
      </c>
      <c r="D4">
        <v>3</v>
      </c>
      <c r="E4">
        <f t="shared" si="0"/>
        <v>4</v>
      </c>
    </row>
    <row r="5" spans="1:5" x14ac:dyDescent="0.35">
      <c r="A5" s="7" t="s">
        <v>34</v>
      </c>
      <c r="B5" t="s">
        <v>40</v>
      </c>
      <c r="C5">
        <v>1</v>
      </c>
      <c r="D5">
        <v>1</v>
      </c>
      <c r="E5">
        <f t="shared" si="0"/>
        <v>2</v>
      </c>
    </row>
    <row r="6" spans="1:5" x14ac:dyDescent="0.35">
      <c r="A6" s="7" t="s">
        <v>34</v>
      </c>
      <c r="B6" t="s">
        <v>37</v>
      </c>
      <c r="C6">
        <v>4</v>
      </c>
      <c r="D6">
        <v>3</v>
      </c>
      <c r="E6">
        <f t="shared" si="0"/>
        <v>7</v>
      </c>
    </row>
    <row r="7" spans="1:5" x14ac:dyDescent="0.35">
      <c r="A7" s="7" t="s">
        <v>34</v>
      </c>
      <c r="B7" t="s">
        <v>42</v>
      </c>
      <c r="C7">
        <v>1</v>
      </c>
      <c r="D7">
        <v>2</v>
      </c>
      <c r="E7">
        <f t="shared" si="0"/>
        <v>3</v>
      </c>
    </row>
    <row r="8" spans="1:5" x14ac:dyDescent="0.35">
      <c r="A8" s="5" t="s">
        <v>17</v>
      </c>
      <c r="B8" t="s">
        <v>52</v>
      </c>
      <c r="C8">
        <v>0</v>
      </c>
      <c r="D8">
        <v>2</v>
      </c>
      <c r="E8">
        <f t="shared" si="0"/>
        <v>2</v>
      </c>
    </row>
    <row r="9" spans="1:5" x14ac:dyDescent="0.35">
      <c r="A9" s="5" t="s">
        <v>17</v>
      </c>
      <c r="B9" t="s">
        <v>26</v>
      </c>
      <c r="C9">
        <v>2</v>
      </c>
      <c r="D9">
        <v>3</v>
      </c>
      <c r="E9">
        <f t="shared" si="0"/>
        <v>5</v>
      </c>
    </row>
    <row r="10" spans="1:5" x14ac:dyDescent="0.35">
      <c r="A10" s="7" t="s">
        <v>34</v>
      </c>
      <c r="B10" t="s">
        <v>53</v>
      </c>
      <c r="C10">
        <v>0</v>
      </c>
      <c r="D10">
        <v>0</v>
      </c>
      <c r="E10">
        <f t="shared" si="0"/>
        <v>0</v>
      </c>
    </row>
    <row r="11" spans="1:5" x14ac:dyDescent="0.35">
      <c r="A11" s="7" t="s">
        <v>34</v>
      </c>
      <c r="B11" t="s">
        <v>43</v>
      </c>
      <c r="C11">
        <v>0</v>
      </c>
      <c r="D11">
        <v>1</v>
      </c>
      <c r="E11">
        <f t="shared" si="0"/>
        <v>1</v>
      </c>
    </row>
    <row r="12" spans="1:5" x14ac:dyDescent="0.35">
      <c r="A12" s="3" t="s">
        <v>10</v>
      </c>
      <c r="B12" t="s">
        <v>54</v>
      </c>
      <c r="C12">
        <v>1</v>
      </c>
      <c r="D12">
        <v>4</v>
      </c>
      <c r="E12">
        <f t="shared" si="0"/>
        <v>5</v>
      </c>
    </row>
    <row r="13" spans="1:5" x14ac:dyDescent="0.35">
      <c r="A13" s="7" t="s">
        <v>34</v>
      </c>
      <c r="B13" t="s">
        <v>55</v>
      </c>
      <c r="C13">
        <v>1</v>
      </c>
      <c r="D13">
        <v>0</v>
      </c>
      <c r="E13">
        <f t="shared" si="0"/>
        <v>1</v>
      </c>
    </row>
    <row r="14" spans="1:5" x14ac:dyDescent="0.35">
      <c r="A14" s="4" t="s">
        <v>14</v>
      </c>
      <c r="B14" t="s">
        <v>56</v>
      </c>
      <c r="C14">
        <v>1</v>
      </c>
      <c r="D14">
        <v>5</v>
      </c>
      <c r="E14">
        <f t="shared" si="0"/>
        <v>6</v>
      </c>
    </row>
    <row r="15" spans="1:5" x14ac:dyDescent="0.35">
      <c r="A15" s="7" t="s">
        <v>34</v>
      </c>
      <c r="B15" t="s">
        <v>57</v>
      </c>
      <c r="C15">
        <v>0</v>
      </c>
      <c r="D15">
        <v>2</v>
      </c>
      <c r="E15">
        <f t="shared" si="0"/>
        <v>2</v>
      </c>
    </row>
    <row r="16" spans="1:5" x14ac:dyDescent="0.35">
      <c r="A16" s="7" t="s">
        <v>34</v>
      </c>
      <c r="B16" t="s">
        <v>44</v>
      </c>
      <c r="C16">
        <v>0</v>
      </c>
      <c r="D16">
        <v>1</v>
      </c>
      <c r="E16">
        <f t="shared" si="0"/>
        <v>1</v>
      </c>
    </row>
    <row r="17" spans="1:5" x14ac:dyDescent="0.35">
      <c r="A17" s="4" t="s">
        <v>14</v>
      </c>
      <c r="B17" t="s">
        <v>58</v>
      </c>
      <c r="C17">
        <v>4</v>
      </c>
      <c r="D17">
        <v>5</v>
      </c>
      <c r="E17">
        <f t="shared" si="0"/>
        <v>9</v>
      </c>
    </row>
    <row r="18" spans="1:5" x14ac:dyDescent="0.35">
      <c r="A18" s="3" t="s">
        <v>10</v>
      </c>
      <c r="B18" t="s">
        <v>59</v>
      </c>
      <c r="C18">
        <v>0</v>
      </c>
      <c r="D18">
        <v>2</v>
      </c>
      <c r="E18">
        <f t="shared" si="0"/>
        <v>2</v>
      </c>
    </row>
    <row r="19" spans="1:5" x14ac:dyDescent="0.35">
      <c r="A19" s="2" t="s">
        <v>3</v>
      </c>
      <c r="B19" t="s">
        <v>8</v>
      </c>
      <c r="C19">
        <v>1</v>
      </c>
      <c r="D19">
        <v>1</v>
      </c>
      <c r="E19">
        <f t="shared" si="0"/>
        <v>2</v>
      </c>
    </row>
    <row r="20" spans="1:5" x14ac:dyDescent="0.35">
      <c r="A20" s="7" t="s">
        <v>34</v>
      </c>
      <c r="B20" t="s">
        <v>46</v>
      </c>
      <c r="C20">
        <v>1</v>
      </c>
      <c r="D20">
        <v>3</v>
      </c>
      <c r="E20">
        <f t="shared" si="0"/>
        <v>4</v>
      </c>
    </row>
    <row r="21" spans="1:5" x14ac:dyDescent="0.35">
      <c r="A21" s="5" t="s">
        <v>17</v>
      </c>
      <c r="B21" t="s">
        <v>19</v>
      </c>
      <c r="C21">
        <v>1</v>
      </c>
      <c r="D21">
        <v>1</v>
      </c>
      <c r="E21">
        <f t="shared" si="0"/>
        <v>2</v>
      </c>
    </row>
    <row r="22" spans="1:5" x14ac:dyDescent="0.35">
      <c r="A22" s="3" t="s">
        <v>10</v>
      </c>
      <c r="B22" t="s">
        <v>60</v>
      </c>
      <c r="C22">
        <v>0</v>
      </c>
      <c r="D22">
        <v>6</v>
      </c>
      <c r="E22">
        <f t="shared" si="0"/>
        <v>6</v>
      </c>
    </row>
    <row r="23" spans="1:5" x14ac:dyDescent="0.35">
      <c r="A23" s="6" t="s">
        <v>27</v>
      </c>
      <c r="B23" t="s">
        <v>30</v>
      </c>
      <c r="C23">
        <v>1</v>
      </c>
      <c r="D23">
        <v>0</v>
      </c>
      <c r="E23">
        <f t="shared" si="0"/>
        <v>1</v>
      </c>
    </row>
    <row r="24" spans="1:5" x14ac:dyDescent="0.35">
      <c r="A24" s="7" t="s">
        <v>34</v>
      </c>
      <c r="B24" t="s">
        <v>36</v>
      </c>
      <c r="C24">
        <v>0</v>
      </c>
      <c r="D24">
        <v>0</v>
      </c>
      <c r="E24">
        <f t="shared" si="0"/>
        <v>0</v>
      </c>
    </row>
    <row r="25" spans="1:5" x14ac:dyDescent="0.35">
      <c r="A25" s="5" t="s">
        <v>17</v>
      </c>
      <c r="B25" t="s">
        <v>21</v>
      </c>
      <c r="C25">
        <v>7</v>
      </c>
      <c r="D25">
        <v>3</v>
      </c>
      <c r="E25">
        <f t="shared" si="0"/>
        <v>10</v>
      </c>
    </row>
    <row r="26" spans="1:5" x14ac:dyDescent="0.35">
      <c r="A26" s="6" t="s">
        <v>27</v>
      </c>
      <c r="B26" t="s">
        <v>28</v>
      </c>
      <c r="C26">
        <v>0</v>
      </c>
      <c r="D26">
        <v>0</v>
      </c>
      <c r="E26">
        <f t="shared" si="0"/>
        <v>0</v>
      </c>
    </row>
    <row r="27" spans="1:5" x14ac:dyDescent="0.35">
      <c r="A27" s="6" t="s">
        <v>27</v>
      </c>
      <c r="B27" t="s">
        <v>32</v>
      </c>
      <c r="C27">
        <v>1</v>
      </c>
      <c r="D27">
        <v>4</v>
      </c>
      <c r="E27">
        <f t="shared" si="0"/>
        <v>5</v>
      </c>
    </row>
    <row r="28" spans="1:5" x14ac:dyDescent="0.35">
      <c r="A28" s="3" t="s">
        <v>10</v>
      </c>
      <c r="B28" t="s">
        <v>11</v>
      </c>
      <c r="C28">
        <v>1</v>
      </c>
      <c r="D28">
        <v>2</v>
      </c>
      <c r="E28">
        <f t="shared" si="0"/>
        <v>3</v>
      </c>
    </row>
    <row r="29" spans="1:5" x14ac:dyDescent="0.35">
      <c r="A29" s="7" t="s">
        <v>34</v>
      </c>
      <c r="B29" t="s">
        <v>50</v>
      </c>
      <c r="C29">
        <v>2</v>
      </c>
      <c r="D29">
        <v>6</v>
      </c>
      <c r="E29">
        <f t="shared" si="0"/>
        <v>8</v>
      </c>
    </row>
    <row r="30" spans="1:5" x14ac:dyDescent="0.35">
      <c r="A30" s="5" t="s">
        <v>17</v>
      </c>
      <c r="B30" t="s">
        <v>22</v>
      </c>
      <c r="C30">
        <v>2</v>
      </c>
      <c r="D30">
        <v>8</v>
      </c>
      <c r="E30">
        <f t="shared" si="0"/>
        <v>10</v>
      </c>
    </row>
    <row r="31" spans="1:5" x14ac:dyDescent="0.35">
      <c r="A31" s="5" t="s">
        <v>17</v>
      </c>
      <c r="B31" t="s">
        <v>20</v>
      </c>
      <c r="C31">
        <v>4</v>
      </c>
      <c r="D31">
        <v>3</v>
      </c>
      <c r="E31">
        <f t="shared" si="0"/>
        <v>7</v>
      </c>
    </row>
    <row r="32" spans="1:5" x14ac:dyDescent="0.35">
      <c r="A32" s="2" t="s">
        <v>3</v>
      </c>
      <c r="B32" t="s">
        <v>5</v>
      </c>
      <c r="C32">
        <v>4</v>
      </c>
      <c r="D32">
        <v>12</v>
      </c>
      <c r="E32">
        <f t="shared" si="0"/>
        <v>16</v>
      </c>
    </row>
    <row r="33" spans="1:5" x14ac:dyDescent="0.35">
      <c r="A33" s="7" t="s">
        <v>34</v>
      </c>
      <c r="B33" t="s">
        <v>61</v>
      </c>
      <c r="C33">
        <v>0</v>
      </c>
      <c r="D33">
        <v>1</v>
      </c>
      <c r="E33">
        <f t="shared" si="0"/>
        <v>1</v>
      </c>
    </row>
    <row r="34" spans="1:5" x14ac:dyDescent="0.35">
      <c r="A34" s="6" t="s">
        <v>27</v>
      </c>
      <c r="B34" t="s">
        <v>29</v>
      </c>
      <c r="C34">
        <v>2</v>
      </c>
      <c r="D34">
        <v>5</v>
      </c>
      <c r="E34">
        <f t="shared" ref="E34:E65" si="1">SUM(C34:D34)</f>
        <v>7</v>
      </c>
    </row>
    <row r="35" spans="1:5" x14ac:dyDescent="0.35">
      <c r="A35" s="5" t="s">
        <v>17</v>
      </c>
      <c r="B35" t="s">
        <v>18</v>
      </c>
      <c r="C35">
        <v>9</v>
      </c>
      <c r="D35">
        <v>1</v>
      </c>
      <c r="E35">
        <f t="shared" si="1"/>
        <v>10</v>
      </c>
    </row>
    <row r="36" spans="1:5" x14ac:dyDescent="0.35">
      <c r="A36" s="7" t="s">
        <v>34</v>
      </c>
      <c r="B36" t="s">
        <v>45</v>
      </c>
      <c r="C36">
        <v>1</v>
      </c>
      <c r="D36">
        <v>2</v>
      </c>
      <c r="E36">
        <f t="shared" si="1"/>
        <v>3</v>
      </c>
    </row>
    <row r="37" spans="1:5" x14ac:dyDescent="0.35">
      <c r="A37" s="7" t="s">
        <v>34</v>
      </c>
      <c r="B37" t="s">
        <v>62</v>
      </c>
      <c r="C37">
        <v>1</v>
      </c>
      <c r="D37">
        <v>5</v>
      </c>
      <c r="E37">
        <f t="shared" si="1"/>
        <v>6</v>
      </c>
    </row>
    <row r="38" spans="1:5" x14ac:dyDescent="0.35">
      <c r="A38" s="6" t="s">
        <v>27</v>
      </c>
      <c r="B38" t="s">
        <v>33</v>
      </c>
      <c r="C38">
        <v>4</v>
      </c>
      <c r="D38">
        <v>6</v>
      </c>
      <c r="E38">
        <f t="shared" si="1"/>
        <v>10</v>
      </c>
    </row>
    <row r="39" spans="1:5" x14ac:dyDescent="0.35">
      <c r="A39" s="2" t="s">
        <v>3</v>
      </c>
      <c r="B39" t="s">
        <v>6</v>
      </c>
      <c r="C39">
        <v>0</v>
      </c>
      <c r="D39">
        <v>1</v>
      </c>
      <c r="E39">
        <f t="shared" si="1"/>
        <v>1</v>
      </c>
    </row>
    <row r="40" spans="1:5" x14ac:dyDescent="0.35">
      <c r="A40" s="7" t="s">
        <v>34</v>
      </c>
      <c r="B40" t="s">
        <v>41</v>
      </c>
      <c r="C40">
        <v>1</v>
      </c>
      <c r="D40">
        <v>2</v>
      </c>
      <c r="E40">
        <f t="shared" si="1"/>
        <v>3</v>
      </c>
    </row>
    <row r="41" spans="1:5" x14ac:dyDescent="0.35">
      <c r="A41" s="2" t="s">
        <v>3</v>
      </c>
      <c r="B41" t="s">
        <v>63</v>
      </c>
      <c r="C41">
        <v>0</v>
      </c>
      <c r="D41">
        <v>1</v>
      </c>
      <c r="E41">
        <f t="shared" si="1"/>
        <v>1</v>
      </c>
    </row>
    <row r="42" spans="1:5" x14ac:dyDescent="0.35">
      <c r="A42" s="4" t="s">
        <v>14</v>
      </c>
      <c r="B42" t="s">
        <v>64</v>
      </c>
      <c r="C42">
        <v>0</v>
      </c>
      <c r="D42">
        <v>8</v>
      </c>
      <c r="E42">
        <f t="shared" si="1"/>
        <v>8</v>
      </c>
    </row>
    <row r="43" spans="1:5" x14ac:dyDescent="0.35">
      <c r="A43" s="7" t="s">
        <v>34</v>
      </c>
      <c r="B43" t="s">
        <v>39</v>
      </c>
      <c r="C43">
        <v>0</v>
      </c>
      <c r="D43">
        <v>0</v>
      </c>
      <c r="E43">
        <f t="shared" si="1"/>
        <v>0</v>
      </c>
    </row>
    <row r="44" spans="1:5" x14ac:dyDescent="0.35">
      <c r="A44" s="3" t="s">
        <v>10</v>
      </c>
      <c r="B44" t="s">
        <v>65</v>
      </c>
      <c r="C44">
        <v>1</v>
      </c>
      <c r="D44">
        <v>3</v>
      </c>
      <c r="E44">
        <f t="shared" si="1"/>
        <v>4</v>
      </c>
    </row>
    <row r="45" spans="1:5" x14ac:dyDescent="0.35">
      <c r="A45" s="7" t="s">
        <v>34</v>
      </c>
      <c r="B45" t="s">
        <v>47</v>
      </c>
      <c r="C45">
        <v>1</v>
      </c>
      <c r="D45">
        <v>3</v>
      </c>
      <c r="E45">
        <f t="shared" si="1"/>
        <v>4</v>
      </c>
    </row>
    <row r="46" spans="1:5" x14ac:dyDescent="0.35">
      <c r="A46" s="5" t="s">
        <v>17</v>
      </c>
      <c r="B46" t="s">
        <v>66</v>
      </c>
      <c r="C46">
        <v>1</v>
      </c>
      <c r="D46">
        <v>2</v>
      </c>
      <c r="E46">
        <f t="shared" si="1"/>
        <v>3</v>
      </c>
    </row>
    <row r="47" spans="1:5" x14ac:dyDescent="0.35">
      <c r="A47" s="5" t="s">
        <v>17</v>
      </c>
      <c r="B47" t="s">
        <v>25</v>
      </c>
      <c r="C47">
        <v>5</v>
      </c>
      <c r="D47">
        <v>4</v>
      </c>
      <c r="E47">
        <f t="shared" si="1"/>
        <v>9</v>
      </c>
    </row>
    <row r="48" spans="1:5" x14ac:dyDescent="0.35">
      <c r="A48" s="4" t="s">
        <v>14</v>
      </c>
      <c r="B48" t="s">
        <v>67</v>
      </c>
      <c r="C48">
        <v>2</v>
      </c>
      <c r="D48">
        <v>1</v>
      </c>
      <c r="E48">
        <f t="shared" si="1"/>
        <v>3</v>
      </c>
    </row>
    <row r="49" spans="1:5" x14ac:dyDescent="0.35">
      <c r="A49" s="4" t="s">
        <v>14</v>
      </c>
      <c r="B49" t="s">
        <v>16</v>
      </c>
      <c r="C49">
        <v>1</v>
      </c>
      <c r="D49">
        <v>17</v>
      </c>
      <c r="E49">
        <f t="shared" si="1"/>
        <v>18</v>
      </c>
    </row>
    <row r="50" spans="1:5" x14ac:dyDescent="0.35">
      <c r="A50" s="7" t="s">
        <v>34</v>
      </c>
      <c r="B50" t="s">
        <v>48</v>
      </c>
      <c r="C50">
        <v>0</v>
      </c>
      <c r="D50">
        <v>4</v>
      </c>
      <c r="E50">
        <f t="shared" si="1"/>
        <v>4</v>
      </c>
    </row>
    <row r="51" spans="1:5" x14ac:dyDescent="0.35">
      <c r="A51" s="7" t="s">
        <v>34</v>
      </c>
      <c r="B51" t="s">
        <v>68</v>
      </c>
      <c r="C51">
        <v>4</v>
      </c>
      <c r="D51">
        <v>0</v>
      </c>
      <c r="E51">
        <f t="shared" si="1"/>
        <v>4</v>
      </c>
    </row>
    <row r="52" spans="1:5" x14ac:dyDescent="0.35">
      <c r="A52" s="3" t="s">
        <v>10</v>
      </c>
      <c r="B52" t="s">
        <v>13</v>
      </c>
      <c r="C52">
        <v>2</v>
      </c>
      <c r="D52">
        <v>7</v>
      </c>
      <c r="E52">
        <f t="shared" si="1"/>
        <v>9</v>
      </c>
    </row>
    <row r="53" spans="1:5" x14ac:dyDescent="0.35">
      <c r="A53" s="3" t="s">
        <v>10</v>
      </c>
      <c r="B53" t="s">
        <v>12</v>
      </c>
      <c r="C53">
        <v>0</v>
      </c>
      <c r="D53">
        <v>0</v>
      </c>
      <c r="E53">
        <f t="shared" si="1"/>
        <v>0</v>
      </c>
    </row>
    <row r="54" spans="1:5" x14ac:dyDescent="0.35">
      <c r="A54" s="5" t="s">
        <v>17</v>
      </c>
      <c r="B54" t="s">
        <v>23</v>
      </c>
      <c r="C54">
        <v>3</v>
      </c>
      <c r="D54">
        <v>6</v>
      </c>
      <c r="E54">
        <f t="shared" si="1"/>
        <v>9</v>
      </c>
    </row>
    <row r="55" spans="1:5" x14ac:dyDescent="0.35">
      <c r="A55" s="7" t="s">
        <v>34</v>
      </c>
      <c r="B55" t="s">
        <v>38</v>
      </c>
      <c r="C55">
        <v>9</v>
      </c>
      <c r="D55">
        <v>3</v>
      </c>
      <c r="E55">
        <f t="shared" si="1"/>
        <v>12</v>
      </c>
    </row>
    <row r="56" spans="1:5" x14ac:dyDescent="0.35">
      <c r="A56" s="7" t="s">
        <v>34</v>
      </c>
      <c r="B56" t="s">
        <v>35</v>
      </c>
      <c r="C56">
        <v>4</v>
      </c>
      <c r="D56">
        <v>2</v>
      </c>
      <c r="E56">
        <f t="shared" si="1"/>
        <v>6</v>
      </c>
    </row>
    <row r="57" spans="1:5" x14ac:dyDescent="0.35">
      <c r="A57" s="5" t="s">
        <v>17</v>
      </c>
      <c r="B57" t="s">
        <v>24</v>
      </c>
      <c r="C57">
        <v>0</v>
      </c>
      <c r="D57">
        <v>4</v>
      </c>
      <c r="E57">
        <f t="shared" si="1"/>
        <v>4</v>
      </c>
    </row>
    <row r="58" spans="1:5" x14ac:dyDescent="0.35">
      <c r="A58" s="6" t="s">
        <v>27</v>
      </c>
      <c r="B58" t="s">
        <v>31</v>
      </c>
      <c r="C58">
        <v>1</v>
      </c>
      <c r="D58">
        <v>5</v>
      </c>
      <c r="E58">
        <f t="shared" si="1"/>
        <v>6</v>
      </c>
    </row>
    <row r="59" spans="1:5" x14ac:dyDescent="0.35">
      <c r="A59" s="4" t="s">
        <v>14</v>
      </c>
      <c r="B59" t="s">
        <v>69</v>
      </c>
      <c r="C59">
        <v>3</v>
      </c>
      <c r="D59">
        <v>7</v>
      </c>
      <c r="E59">
        <f t="shared" si="1"/>
        <v>10</v>
      </c>
    </row>
    <row r="60" spans="1:5" x14ac:dyDescent="0.35">
      <c r="A60" s="5" t="s">
        <v>17</v>
      </c>
      <c r="B60" t="s">
        <v>70</v>
      </c>
      <c r="C60">
        <v>1</v>
      </c>
      <c r="D60">
        <v>1</v>
      </c>
      <c r="E60">
        <f t="shared" si="1"/>
        <v>2</v>
      </c>
    </row>
    <row r="61" spans="1:5" x14ac:dyDescent="0.35">
      <c r="A61" s="7" t="s">
        <v>34</v>
      </c>
      <c r="B61" t="s">
        <v>71</v>
      </c>
      <c r="C61">
        <v>0</v>
      </c>
      <c r="D61">
        <v>0</v>
      </c>
      <c r="E61">
        <f t="shared" si="1"/>
        <v>0</v>
      </c>
    </row>
    <row r="62" spans="1:5" x14ac:dyDescent="0.35">
      <c r="A62" s="6" t="s">
        <v>27</v>
      </c>
      <c r="B62" t="s">
        <v>72</v>
      </c>
      <c r="C62">
        <v>0</v>
      </c>
      <c r="D62">
        <v>8</v>
      </c>
      <c r="E62">
        <f t="shared" si="1"/>
        <v>8</v>
      </c>
    </row>
    <row r="63" spans="1:5" x14ac:dyDescent="0.35">
      <c r="A63" s="7" t="s">
        <v>34</v>
      </c>
      <c r="B63" t="s">
        <v>49</v>
      </c>
      <c r="C63">
        <v>0</v>
      </c>
      <c r="D63">
        <v>3</v>
      </c>
      <c r="E63">
        <f t="shared" si="1"/>
        <v>3</v>
      </c>
    </row>
    <row r="64" spans="1:5" x14ac:dyDescent="0.35">
      <c r="A64" s="2" t="s">
        <v>3</v>
      </c>
      <c r="B64" t="s">
        <v>73</v>
      </c>
      <c r="C64">
        <v>2</v>
      </c>
      <c r="D64">
        <v>13</v>
      </c>
      <c r="E64">
        <f t="shared" si="1"/>
        <v>15</v>
      </c>
    </row>
  </sheetData>
  <sortState xmlns:xlrd2="http://schemas.microsoft.com/office/spreadsheetml/2017/richdata2" ref="A2:E64">
    <sortCondition ref="B2:B64"/>
  </sortState>
  <conditionalFormatting sqref="E2:E1048576">
    <cfRule type="colorScale" priority="1">
      <colorScale>
        <cfvo type="min"/>
        <cfvo type="max"/>
        <color rgb="FFFCFCFF"/>
        <color rgb="FFF8696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Brown</dc:creator>
  <cp:lastModifiedBy>Brown, Keith</cp:lastModifiedBy>
  <dcterms:created xsi:type="dcterms:W3CDTF">2015-06-05T18:17:20Z</dcterms:created>
  <dcterms:modified xsi:type="dcterms:W3CDTF">2026-01-31T00:28:21Z</dcterms:modified>
</cp:coreProperties>
</file>